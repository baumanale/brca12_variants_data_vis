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<sst xmlns="http://schemas.openxmlformats.org/spreadsheetml/2006/main" count="114" uniqueCount="77">
  <si>
    <t xml:space="preserve">origin</t>
  </si>
  <si>
    <t xml:space="preserve">Analytik ID</t>
  </si>
  <si>
    <t xml:space="preserve">Panelname (Kürzel)</t>
  </si>
  <si>
    <t xml:space="preserve">Datum</t>
  </si>
  <si>
    <t xml:space="preserve">Reference Genome</t>
  </si>
  <si>
    <t xml:space="preserve">Chr</t>
  </si>
  <si>
    <t xml:space="preserve">POS</t>
  </si>
  <si>
    <t xml:space="preserve">SNP</t>
  </si>
  <si>
    <t xml:space="preserve">REF</t>
  </si>
  <si>
    <t xml:space="preserve">ALT</t>
  </si>
  <si>
    <t xml:space="preserve">Gen</t>
  </si>
  <si>
    <t xml:space="preserve">Transcript</t>
  </si>
  <si>
    <t xml:space="preserve">Version</t>
  </si>
  <si>
    <t xml:space="preserve">Mutation</t>
  </si>
  <si>
    <t xml:space="preserve">Amino Acid Change</t>
  </si>
  <si>
    <t xml:space="preserve">Inheritance</t>
  </si>
  <si>
    <t xml:space="preserve">Zygosity</t>
  </si>
  <si>
    <t xml:space="preserve">Bewertung gesamt</t>
  </si>
  <si>
    <t xml:space="preserve">in Befund</t>
  </si>
  <si>
    <t xml:space="preserve">HBOC Gepado 2020-05-13</t>
  </si>
  <si>
    <t xml:space="preserve">AN 5419668</t>
  </si>
  <si>
    <t xml:space="preserve">TSCv2</t>
  </si>
  <si>
    <t xml:space="preserve">GRCh37/hg19</t>
  </si>
  <si>
    <t xml:space="preserve">rs80357668</t>
  </si>
  <si>
    <t xml:space="preserve">G</t>
  </si>
  <si>
    <t xml:space="preserve">-</t>
  </si>
  <si>
    <t xml:space="preserve">BRCA1</t>
  </si>
  <si>
    <t xml:space="preserve">NM_007300</t>
  </si>
  <si>
    <t xml:space="preserve">.3</t>
  </si>
  <si>
    <t xml:space="preserve">c.2176del</t>
  </si>
  <si>
    <t xml:space="preserve">p.(Leu726Phefs*10)</t>
  </si>
  <si>
    <t xml:space="preserve">Heterozygous</t>
  </si>
  <si>
    <t xml:space="preserve">pathogen</t>
  </si>
  <si>
    <t xml:space="preserve">Hauptbefund</t>
  </si>
  <si>
    <t xml:space="preserve">Count - Bewertung gesamt</t>
  </si>
  <si>
    <t xml:space="preserve">Anzahl von Bewertung gesamt</t>
  </si>
  <si>
    <t xml:space="preserve">Spaltenbeschriftungen</t>
  </si>
  <si>
    <t xml:space="preserve">AN 5416498</t>
  </si>
  <si>
    <t xml:space="preserve">rs121912653 </t>
  </si>
  <si>
    <t xml:space="preserve">A</t>
  </si>
  <si>
    <t xml:space="preserve">TP53</t>
  </si>
  <si>
    <t xml:space="preserve">NM_000546</t>
  </si>
  <si>
    <t xml:space="preserve">.5</t>
  </si>
  <si>
    <t xml:space="preserve">c.755T&gt;C</t>
  </si>
  <si>
    <t xml:space="preserve">p.Leu252Pro</t>
  </si>
  <si>
    <t xml:space="preserve">Zusatzbefund, nicht berichten (EW)</t>
  </si>
  <si>
    <t xml:space="preserve">unklare Signifikanz</t>
  </si>
  <si>
    <t xml:space="preserve">wahrscheinlich pathogen</t>
  </si>
  <si>
    <t xml:space="preserve">Total Result</t>
  </si>
  <si>
    <t xml:space="preserve">Zeilenbeschriftungen</t>
  </si>
  <si>
    <t xml:space="preserve">P/LP</t>
  </si>
  <si>
    <t xml:space="preserve">Gesamtergebnis</t>
  </si>
  <si>
    <t xml:space="preserve">rs80356898</t>
  </si>
  <si>
    <t xml:space="preserve">NM_007294</t>
  </si>
  <si>
    <t xml:space="preserve">.4</t>
  </si>
  <si>
    <t xml:space="preserve">c.1687C&gt;T</t>
  </si>
  <si>
    <t xml:space="preserve">p.Gln563*</t>
  </si>
  <si>
    <t xml:space="preserve">Zusatzbefund, nicht berichten (unklar)</t>
  </si>
  <si>
    <t xml:space="preserve">A2ML1</t>
  </si>
  <si>
    <t xml:space="preserve">AN 5417725</t>
  </si>
  <si>
    <t xml:space="preserve">rs36053993</t>
  </si>
  <si>
    <t xml:space="preserve">C</t>
  </si>
  <si>
    <t xml:space="preserve">T</t>
  </si>
  <si>
    <t xml:space="preserve">MUTYH</t>
  </si>
  <si>
    <t xml:space="preserve">NM_001128425</t>
  </si>
  <si>
    <t xml:space="preserve">.1</t>
  </si>
  <si>
    <t xml:space="preserve">c.1187G&gt;A</t>
  </si>
  <si>
    <t xml:space="preserve">p.Gly396Asp</t>
  </si>
  <si>
    <t xml:space="preserve">Zusatzbefund, berichten</t>
  </si>
  <si>
    <t xml:space="preserve">ABAT</t>
  </si>
  <si>
    <t xml:space="preserve">AN 5413142</t>
  </si>
  <si>
    <t xml:space="preserve">EBM</t>
  </si>
  <si>
    <t xml:space="preserve">23649405^23649406</t>
  </si>
  <si>
    <t xml:space="preserve">NM_024675</t>
  </si>
  <si>
    <t xml:space="preserve">c.93dupA</t>
  </si>
  <si>
    <t xml:space="preserve">p.Leu32Thrfs*11</t>
  </si>
  <si>
    <t xml:space="preserve">ABCA13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</si>
</sst>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ohit Devanagari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Pivot Table Corner" xfId="20" builtinId="53" customBuiltin="true"/>
    <cellStyle name="Pivot Table Field" xfId="21" builtinId="53" customBuiltin="true"/>
    <cellStyle name="Pivot Table Category" xfId="22" builtinId="53" customBuiltin="true"/>
    <cellStyle name="Pivot Table Value" xfId="23" builtinId="53" customBuiltin="true"/>
    <cellStyle name="Pivot Table Title" xfId="24" builtinId="53" customBuiltin="true"/>
    <cellStyle name="Pivot Table Result" xfId="25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6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2.8" hidden="false" customHeight="false" outlineLevel="0" collapsed="false">
      <c r="A2" s="0" t="s">
        <v>19</v>
      </c>
      <c r="B2" s="0" t="s">
        <v>20</v>
      </c>
      <c r="C2" s="0" t="s">
        <v>21</v>
      </c>
      <c r="D2" s="2" t="n">
        <v>43895</v>
      </c>
      <c r="E2" s="0" t="s">
        <v>22</v>
      </c>
      <c r="F2" s="0" t="n">
        <v>17</v>
      </c>
      <c r="G2" s="0" t="n">
        <v>41245372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Q2" s="0" t="s">
        <v>31</v>
      </c>
      <c r="R2" s="0" t="s">
        <v>32</v>
      </c>
      <c r="S2" s="0" t="s">
        <v>33</v>
      </c>
      <c r="U2" s="3" t="s">
        <v>34</v>
      </c>
      <c r="V2" s="4" t="s">
        <v>17</v>
      </c>
      <c r="W2" s="5"/>
      <c r="X2" s="5"/>
      <c r="Y2" s="6"/>
      <c r="AA2" s="0" t="s">
        <v>35</v>
      </c>
      <c r="AC2" s="0" t="s">
        <v>36</v>
      </c>
    </row>
    <row r="3" customFormat="false" ht="12.8" hidden="false" customHeight="false" outlineLevel="0" collapsed="false">
      <c r="A3" s="0" t="s">
        <v>19</v>
      </c>
      <c r="B3" s="0" t="s">
        <v>37</v>
      </c>
      <c r="C3" s="0" t="s">
        <v>21</v>
      </c>
      <c r="D3" s="2" t="n">
        <v>43570</v>
      </c>
      <c r="E3" s="0" t="s">
        <v>22</v>
      </c>
      <c r="F3" s="0" t="n">
        <v>17</v>
      </c>
      <c r="G3" s="0" t="n">
        <v>7577526</v>
      </c>
      <c r="H3" s="0" t="s">
        <v>38</v>
      </c>
      <c r="I3" s="0" t="s">
        <v>39</v>
      </c>
      <c r="J3" s="0" t="s">
        <v>24</v>
      </c>
      <c r="K3" s="0" t="s">
        <v>40</v>
      </c>
      <c r="L3" s="0" t="s">
        <v>41</v>
      </c>
      <c r="M3" s="0" t="s">
        <v>42</v>
      </c>
      <c r="N3" s="0" t="s">
        <v>43</v>
      </c>
      <c r="O3" s="0" t="s">
        <v>44</v>
      </c>
      <c r="Q3" s="0" t="s">
        <v>31</v>
      </c>
      <c r="R3" s="0" t="s">
        <v>32</v>
      </c>
      <c r="S3" s="0" t="s">
        <v>45</v>
      </c>
      <c r="U3" s="7" t="s">
        <v>10</v>
      </c>
      <c r="V3" s="8" t="s">
        <v>32</v>
      </c>
      <c r="W3" s="9" t="s">
        <v>46</v>
      </c>
      <c r="X3" s="9" t="s">
        <v>47</v>
      </c>
      <c r="Y3" s="10" t="s">
        <v>48</v>
      </c>
      <c r="AA3" s="0" t="s">
        <v>49</v>
      </c>
      <c r="AB3" s="0" t="s">
        <v>46</v>
      </c>
      <c r="AC3" s="0" t="s">
        <v>32</v>
      </c>
      <c r="AD3" s="0" t="s">
        <v>47</v>
      </c>
      <c r="AE3" s="0" t="s">
        <v>50</v>
      </c>
      <c r="AF3" s="0" t="s">
        <v>51</v>
      </c>
    </row>
    <row r="4" customFormat="false" ht="12.8" hidden="false" customHeight="false" outlineLevel="0" collapsed="false">
      <c r="A4" s="0" t="s">
        <v>19</v>
      </c>
      <c r="B4" s="0" t="s">
        <v>37</v>
      </c>
      <c r="C4" s="0" t="s">
        <v>21</v>
      </c>
      <c r="D4" s="2" t="n">
        <v>43570</v>
      </c>
      <c r="E4" s="0" t="s">
        <v>22</v>
      </c>
      <c r="F4" s="0" t="n">
        <v>17</v>
      </c>
      <c r="G4" s="0" t="n">
        <v>41245861</v>
      </c>
      <c r="H4" s="0" t="s">
        <v>52</v>
      </c>
      <c r="I4" s="0" t="s">
        <v>24</v>
      </c>
      <c r="J4" s="0" t="s">
        <v>39</v>
      </c>
      <c r="K4" s="0" t="s">
        <v>26</v>
      </c>
      <c r="L4" s="0" t="s">
        <v>53</v>
      </c>
      <c r="M4" s="0" t="s">
        <v>54</v>
      </c>
      <c r="N4" s="0" t="s">
        <v>55</v>
      </c>
      <c r="O4" s="0" t="s">
        <v>56</v>
      </c>
      <c r="Q4" s="0" t="s">
        <v>31</v>
      </c>
      <c r="R4" s="0" t="s">
        <v>32</v>
      </c>
      <c r="S4" s="0" t="s">
        <v>57</v>
      </c>
      <c r="U4" s="11" t="s">
        <v>58</v>
      </c>
      <c r="V4" s="12"/>
      <c r="W4" s="13" t="n">
        <v>1</v>
      </c>
      <c r="X4" s="14"/>
      <c r="Y4" s="15" t="n">
        <v>1</v>
      </c>
      <c r="AA4" s="0" t="s">
        <v>58</v>
      </c>
      <c r="AB4" s="0" t="n">
        <v>1</v>
      </c>
      <c r="AE4" s="0" t="n">
        <f aca="false">AC4+AD4</f>
        <v>0</v>
      </c>
      <c r="AF4" s="0" t="n">
        <v>1</v>
      </c>
    </row>
    <row r="5" customFormat="false" ht="12.8" hidden="false" customHeight="false" outlineLevel="0" collapsed="false">
      <c r="A5" s="0" t="s">
        <v>19</v>
      </c>
      <c r="B5" s="0" t="s">
        <v>59</v>
      </c>
      <c r="C5" s="0" t="s">
        <v>21</v>
      </c>
      <c r="D5" s="2" t="n">
        <v>43700</v>
      </c>
      <c r="E5" s="0" t="s">
        <v>22</v>
      </c>
      <c r="F5" s="0" t="n">
        <v>1</v>
      </c>
      <c r="G5" s="0" t="n">
        <v>45797228</v>
      </c>
      <c r="H5" s="0" t="s">
        <v>60</v>
      </c>
      <c r="I5" s="0" t="s">
        <v>61</v>
      </c>
      <c r="J5" s="0" t="s">
        <v>62</v>
      </c>
      <c r="K5" s="0" t="s">
        <v>63</v>
      </c>
      <c r="L5" s="0" t="s">
        <v>64</v>
      </c>
      <c r="M5" s="0" t="s">
        <v>65</v>
      </c>
      <c r="N5" s="0" t="s">
        <v>66</v>
      </c>
      <c r="O5" s="0" t="s">
        <v>67</v>
      </c>
      <c r="Q5" s="0" t="s">
        <v>31</v>
      </c>
      <c r="R5" s="0" t="s">
        <v>32</v>
      </c>
      <c r="S5" s="0" t="s">
        <v>68</v>
      </c>
      <c r="U5" s="16" t="s">
        <v>69</v>
      </c>
      <c r="V5" s="17"/>
      <c r="W5" s="18" t="n">
        <v>1</v>
      </c>
      <c r="X5" s="19"/>
      <c r="Y5" s="20" t="n">
        <v>1</v>
      </c>
      <c r="AA5" s="0" t="s">
        <v>69</v>
      </c>
      <c r="AB5" s="0" t="n">
        <v>1</v>
      </c>
      <c r="AE5" s="0" t="n">
        <f aca="false">AC5+AD5</f>
        <v>0</v>
      </c>
      <c r="AF5" s="0" t="n">
        <v>1</v>
      </c>
    </row>
    <row r="6" customFormat="false" ht="12.8" hidden="false" customHeight="false" outlineLevel="0" collapsed="false">
      <c r="A6" s="0" t="s">
        <v>19</v>
      </c>
      <c r="B6" s="0" t="s">
        <v>70</v>
      </c>
      <c r="C6" s="0" t="s">
        <v>71</v>
      </c>
      <c r="D6" s="2" t="n">
        <v>43228</v>
      </c>
      <c r="E6" s="0" t="s">
        <v>22</v>
      </c>
      <c r="F6" s="0" t="n">
        <v>16</v>
      </c>
      <c r="G6" s="0" t="s">
        <v>72</v>
      </c>
      <c r="I6" s="0" t="s">
        <v>25</v>
      </c>
      <c r="J6" s="0" t="s">
        <v>62</v>
      </c>
      <c r="L6" s="0" t="s">
        <v>73</v>
      </c>
      <c r="M6" s="0" t="s">
        <v>28</v>
      </c>
      <c r="N6" s="0" t="s">
        <v>74</v>
      </c>
      <c r="O6" s="0" t="s">
        <v>75</v>
      </c>
      <c r="Q6" s="0" t="s">
        <v>31</v>
      </c>
      <c r="R6" s="0" t="s">
        <v>32</v>
      </c>
      <c r="S6" s="0" t="s">
        <v>33</v>
      </c>
      <c r="U6" s="16" t="s">
        <v>76</v>
      </c>
      <c r="V6" s="17" t="n">
        <v>1</v>
      </c>
      <c r="W6" s="18" t="n">
        <v>1</v>
      </c>
      <c r="X6" s="19"/>
      <c r="Y6" s="20" t="n">
        <v>2</v>
      </c>
      <c r="AA6" s="0" t="s">
        <v>76</v>
      </c>
      <c r="AB6" s="0" t="n">
        <v>1</v>
      </c>
      <c r="AC6" s="0" t="n">
        <v>1</v>
      </c>
      <c r="AE6" s="0" t="n">
        <f aca="false">AC6+AD6</f>
        <v>1</v>
      </c>
      <c r="AF6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2021-04-29T09:54:09Z</dcterms:created>
  <dc:creator/>
  <dc:description/>
  <dc:language>en-US</dc:language>
  <cp:lastModifiedBy/>
  <dcterms:modified xsi:type="dcterms:W3CDTF">2021-04-29T09:54:58Z</dcterms:modified>
  <cp:revision>1</cp:revision>
  <dc:subject/>
  <dc:title/>
</cp:coreProperties>
</file>